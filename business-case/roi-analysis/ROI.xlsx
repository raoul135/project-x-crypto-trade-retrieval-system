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c95d91c6c32cbb8/Desktop/"/>
    </mc:Choice>
  </mc:AlternateContent>
  <xr:revisionPtr revIDLastSave="10" documentId="8_{92595430-9540-4347-B3CB-695CAC987418}" xr6:coauthVersionLast="47" xr6:coauthVersionMax="47" xr10:uidLastSave="{C5D7CD18-9EE3-420B-ACA3-6563C70FCA42}"/>
  <bookViews>
    <workbookView xWindow="-120" yWindow="-120" windowWidth="51840" windowHeight="21120" activeTab="4" xr2:uid="{00000000-000D-0000-FFFF-FFFF00000000}"/>
  </bookViews>
  <sheets>
    <sheet name="HELP &amp; GUIDE" sheetId="1" r:id="rId1"/>
    <sheet name="Hardware TCO" sheetId="2" r:id="rId2"/>
    <sheet name="Cloud TCO" sheetId="3" r:id="rId3"/>
    <sheet name="Besparingen" sheetId="4" r:id="rId4"/>
    <sheet name="Finale Scor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5" l="1"/>
  <c r="B9" i="5"/>
  <c r="B8" i="5"/>
  <c r="B5" i="5"/>
  <c r="B20" i="5" s="1"/>
  <c r="B21" i="4"/>
  <c r="B20" i="4"/>
  <c r="B9" i="4"/>
  <c r="B10" i="4" s="1"/>
  <c r="B11" i="4" s="1"/>
  <c r="B12" i="4" s="1"/>
  <c r="B13" i="3"/>
  <c r="B5" i="3"/>
  <c r="B16" i="3" s="1"/>
  <c r="B17" i="2"/>
  <c r="B14" i="2"/>
  <c r="B18" i="2" s="1"/>
  <c r="B22" i="2" s="1"/>
  <c r="B11" i="2"/>
  <c r="B5" i="2"/>
  <c r="B21" i="2" s="1"/>
  <c r="B23" i="2" s="1"/>
  <c r="B22" i="4" l="1"/>
  <c r="B23" i="4" s="1"/>
  <c r="B26" i="4" s="1"/>
  <c r="B10" i="5"/>
  <c r="B21" i="5" s="1"/>
  <c r="B13" i="5"/>
  <c r="B24" i="2"/>
  <c r="B14" i="3"/>
  <c r="B19" i="3" s="1"/>
  <c r="B15" i="3"/>
  <c r="B20" i="3" l="1"/>
  <c r="B14" i="5"/>
  <c r="B15" i="5" s="1"/>
  <c r="B16" i="5"/>
  <c r="B27" i="4"/>
  <c r="B28" i="4" s="1"/>
  <c r="B31" i="4"/>
  <c r="B32" i="4"/>
  <c r="B29" i="4"/>
  <c r="B30" i="4"/>
  <c r="B31" i="5" l="1"/>
  <c r="B32" i="5" s="1"/>
  <c r="B17" i="5"/>
  <c r="B22" i="5" s="1"/>
  <c r="B24" i="5" s="1"/>
  <c r="B2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ROI Calculator</author>
  </authors>
  <commentList>
    <comment ref="B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Budget: €1.650 (8B modellen)
Mid-range: €1.900 (14B modellen)
High-end: €4.250 (32B modellen)
Zie "HELP &amp; GUIDE" tab voor details</t>
        </r>
      </text>
    </comment>
    <comment ref="A10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€40-80 typisch voor IT personeel
Gebruik intern uurloon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ROI Calculator</author>
  </authors>
  <commentList>
    <comment ref="B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Batch: €0.0071/doc (uren latency)
Haiku: €0.0016/query (&lt;1s)
Sonnet: €0.0047/query (1-3s)
Zie "HELP &amp; GUIDE" tab voor details</t>
        </r>
      </text>
    </comment>
    <comment ref="A9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Default 1.2 = 20% groei in jaar 2
Pas aan obv verwachting</t>
        </r>
      </text>
    </comment>
    <comment ref="A10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Default 1.4 = 40% groei in jaar 3
Pas aan obv verwachting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ROI Calculator</author>
  </authors>
  <commentList>
    <comment ref="A1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1 FTE = 160 uren/maand
(40u/week × 4 weken)
Voorbeeld:
50 uur/maand = 0.31 FTE</t>
        </r>
      </text>
    </comment>
    <comment ref="A3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Conservatieve buffer (×0.7):
• Learning curve
• Onvoorziene problemen
• Adoptie vertraging
Zie "HELP &amp; GUIDE" voor details</t>
        </r>
      </text>
    </comment>
  </commentList>
</comments>
</file>

<file path=xl/sharedStrings.xml><?xml version="1.0" encoding="utf-8"?>
<sst xmlns="http://schemas.openxmlformats.org/spreadsheetml/2006/main" count="158" uniqueCount="151">
  <si>
    <t>ROI CALCULATOR - HELP &amp; GUIDE</t>
  </si>
  <si>
    <t>WORKFLOW:</t>
  </si>
  <si>
    <t>1. Start met Use_Case_Template.xlsx</t>
  </si>
  <si>
    <t xml:space="preserve">   → Kopieer Privacy Score (Tab 2, cel B11)</t>
  </si>
  <si>
    <t>2. Open ROI_Calculator.xlsx</t>
  </si>
  <si>
    <t>3. Ga naar "Finale Score" sheet → Plak privacy in B4</t>
  </si>
  <si>
    <t>4. Vul sheets in deze volgorde:</t>
  </si>
  <si>
    <t xml:space="preserve">   a. Hardware TCO</t>
  </si>
  <si>
    <t xml:space="preserve">   b. Cloud TCO</t>
  </si>
  <si>
    <t xml:space="preserve">   c. Besparingen</t>
  </si>
  <si>
    <t xml:space="preserve">   d. Terug naar Finale Score voor resultaat</t>
  </si>
  <si>
    <t>HARDWARE TIER KEUZE:</t>
  </si>
  <si>
    <t>Tier</t>
  </si>
  <si>
    <t>Prijs</t>
  </si>
  <si>
    <t>Specs</t>
  </si>
  <si>
    <t>Voor</t>
  </si>
  <si>
    <t>Budget</t>
  </si>
  <si>
    <t>€1.650</t>
  </si>
  <si>
    <t>GTX 1660 Ti, 16GB RAM</t>
  </si>
  <si>
    <t>Kleine modellen (8B), &lt; 100 docs/maand</t>
  </si>
  <si>
    <t>Mid-range</t>
  </si>
  <si>
    <t>€1.900</t>
  </si>
  <si>
    <t>RTX 3060, 32GB RAM</t>
  </si>
  <si>
    <t>Medium modellen (14B), 100-500 docs/maand</t>
  </si>
  <si>
    <t>High-end</t>
  </si>
  <si>
    <t>€4.250</t>
  </si>
  <si>
    <t>RTX 4090, 64GB RAM</t>
  </si>
  <si>
    <t>Grote modellen (32B), &gt; 500 docs/maand</t>
  </si>
  <si>
    <t>API KEUZE:</t>
  </si>
  <si>
    <t>API</t>
  </si>
  <si>
    <t>Latency</t>
  </si>
  <si>
    <t>Batch</t>
  </si>
  <si>
    <t>€0.0071/doc</t>
  </si>
  <si>
    <t>Uren</t>
  </si>
  <si>
    <t>Batch processing, niet real-time</t>
  </si>
  <si>
    <t>Haiku 4.5</t>
  </si>
  <si>
    <t>€0.0016/query</t>
  </si>
  <si>
    <t>&lt; 1s</t>
  </si>
  <si>
    <t>Real-time, simpele taken</t>
  </si>
  <si>
    <t>Sonnet 4.5</t>
  </si>
  <si>
    <t>€0.0047/query</t>
  </si>
  <si>
    <t>1-3s</t>
  </si>
  <si>
    <t>Real-time, complexe taken</t>
  </si>
  <si>
    <t>FTE BEREKENING:</t>
  </si>
  <si>
    <t>1 FTE = 160 uren per maand (40u/week × 4 weken)</t>
  </si>
  <si>
    <t>Voorbeeld: 50 uur bespaard/maand = 50/160 = 0.31 FTE</t>
  </si>
  <si>
    <t>BREAK-EVEN INTERPRETATIE:</t>
  </si>
  <si>
    <t>Optimistisch: Zonder buffer (ideale scenario)</t>
  </si>
  <si>
    <t>Conservatief: Met ×0.7 buffer (realistisch)</t>
  </si>
  <si>
    <t>Buffer ×0.7 accounts voor:</t>
  </si>
  <si>
    <t xml:space="preserve">  • Learning curve (3-6 maanden)</t>
  </si>
  <si>
    <t xml:space="preserve">  • Adoptie trager dan verwacht</t>
  </si>
  <si>
    <t xml:space="preserve">  • Onvoorziene problemen</t>
  </si>
  <si>
    <t xml:space="preserve">  • Tijd voor fine-tuning</t>
  </si>
  <si>
    <t>Timing interpretatie:</t>
  </si>
  <si>
    <t>&lt; 6 maanden: Excellent</t>
  </si>
  <si>
    <t>6-12 maanden: Goed</t>
  </si>
  <si>
    <t>12-18 maanden: Acceptabel</t>
  </si>
  <si>
    <t>&gt; 18 maanden: Moeilijk</t>
  </si>
  <si>
    <t>HARDWARE TCO BEREKENING (3 jaar)</t>
  </si>
  <si>
    <t>Vul hardware specs in. Zie tab "HELP &amp; GUIDE" voor Tier keuze!</t>
  </si>
  <si>
    <t>A. HARDWARE KEUZE</t>
  </si>
  <si>
    <t>Tier:</t>
  </si>
  <si>
    <t>(Budget/Mid-range/High-end)</t>
  </si>
  <si>
    <t>Hardware prijs:</t>
  </si>
  <si>
    <t>B. SETUP KOSTEN (eenmalig)</t>
  </si>
  <si>
    <t>IT uren setup:</t>
  </si>
  <si>
    <t>Training uren:</t>
  </si>
  <si>
    <t>Uurloon (€):</t>
  </si>
  <si>
    <t>Totaal setup:</t>
  </si>
  <si>
    <t>C. OPERATIONEEL PER MAAND</t>
  </si>
  <si>
    <t>Elektriciteit (€/maand):</t>
  </si>
  <si>
    <t>Onderhoud (€/maand):</t>
  </si>
  <si>
    <t>Monitoring uren/maand:</t>
  </si>
  <si>
    <t>Monitoring kosten:</t>
  </si>
  <si>
    <t>Totaal operationeel/maand:</t>
  </si>
  <si>
    <t>D. TCO OVERZICHT</t>
  </si>
  <si>
    <t>TCO Jaar 1:</t>
  </si>
  <si>
    <t>TCO Jaar 2-3:</t>
  </si>
  <si>
    <t>TCO 3-jaar totaal:</t>
  </si>
  <si>
    <t>Per maand gemiddeld:</t>
  </si>
  <si>
    <t>CLOUD API TCO BEREKENING (3 jaar)</t>
  </si>
  <si>
    <t>Kies Anthropic API. Zie tab "HELP &amp; GUIDE" voor API keuze!</t>
  </si>
  <si>
    <t>A. API KEUZE</t>
  </si>
  <si>
    <t>API Provider:</t>
  </si>
  <si>
    <t>(Batch/Sonnet/Haiku/Custom)</t>
  </si>
  <si>
    <t>Prijs per query/doc (€):</t>
  </si>
  <si>
    <t>B. VOLUME &amp; GROEI</t>
  </si>
  <si>
    <t>Queries/docs per maand:</t>
  </si>
  <si>
    <t>Jaar 2 groei factor:</t>
  </si>
  <si>
    <t>Jaar 3 groei factor:</t>
  </si>
  <si>
    <t>C. KOSTEN PER JAAR</t>
  </si>
  <si>
    <t>Setup (eenmalig):</t>
  </si>
  <si>
    <t>Jaar 1 API kosten:</t>
  </si>
  <si>
    <t>Jaar 2 API kosten:</t>
  </si>
  <si>
    <t>Jaar 3 API kosten:</t>
  </si>
  <si>
    <t>BESPARINGEN BEREKENING</t>
  </si>
  <si>
    <t>Bereken tijdwinst + kwaliteitswinst. Zie "HELP &amp; GUIDE" voor FTE uitleg!</t>
  </si>
  <si>
    <t>A. TIJDWINST (FTE)</t>
  </si>
  <si>
    <t>Huidige tijd per taak (min):</t>
  </si>
  <si>
    <t>LLM tijd per taak (min):</t>
  </si>
  <si>
    <t>Taken per maand:</t>
  </si>
  <si>
    <t>FTE uurloon (€/uur):</t>
  </si>
  <si>
    <t>Bespaard per taak (min):</t>
  </si>
  <si>
    <t>Totaal per maand (uren):</t>
  </si>
  <si>
    <t>FTE bespaard:</t>
  </si>
  <si>
    <t>Besparing tijdwinst (€/maand):</t>
  </si>
  <si>
    <t>B. KWALITEITSWINST (FOUTEN)</t>
  </si>
  <si>
    <t>Huidig foutpercentage:</t>
  </si>
  <si>
    <t>LLM foutpercentage:</t>
  </si>
  <si>
    <t>Kosten per fout (€):</t>
  </si>
  <si>
    <t>Volume per maand:</t>
  </si>
  <si>
    <t>Fouten nu:</t>
  </si>
  <si>
    <t>Fouten met LLM:</t>
  </si>
  <si>
    <t>Fouten vermeden:</t>
  </si>
  <si>
    <t>Besparing kwaliteit (€/maand):</t>
  </si>
  <si>
    <t>C. TOTALE BESPARING</t>
  </si>
  <si>
    <t>Besparing per maand:</t>
  </si>
  <si>
    <t>Besparing per jaar:</t>
  </si>
  <si>
    <t>BREAK-EVEN BEREKENING</t>
  </si>
  <si>
    <t>Break-even Hardware (maanden):</t>
  </si>
  <si>
    <t>Break-even Cloud (maanden):</t>
  </si>
  <si>
    <t>Break-even Hardware conservatief (×0.7):</t>
  </si>
  <si>
    <t>Break-even Cloud conservatief (×0.7):</t>
  </si>
  <si>
    <t>BESLISSINGSMATRIX (0-100 punten)</t>
  </si>
  <si>
    <t>Finale beslissing obv 3 scores. Privacy eerst invullen uit Use_Case_Template!</t>
  </si>
  <si>
    <t>Kopieer Privacy Score uit Use_Case_Template Tab 2 cel B11:</t>
  </si>
  <si>
    <t>Privacy Score (0-100):</t>
  </si>
  <si>
    <t>(Importeer van Use_Case_Template Tab 2)</t>
  </si>
  <si>
    <t>Privacy score voor matrix:</t>
  </si>
  <si>
    <t>B. QUALITY SCORE (max 30)</t>
  </si>
  <si>
    <t>Foutreductie %:</t>
  </si>
  <si>
    <t>Tijdwinst %:</t>
  </si>
  <si>
    <t>Quality score berekend:</t>
  </si>
  <si>
    <t>C. COST SCORE (max 20)</t>
  </si>
  <si>
    <t>Hardware TCO 3-jaar:</t>
  </si>
  <si>
    <t>Cloud TCO 3-jaar:</t>
  </si>
  <si>
    <t>Goedkoper optie:</t>
  </si>
  <si>
    <t>Cost verschil factor:</t>
  </si>
  <si>
    <t>Cost score:</t>
  </si>
  <si>
    <t>D. FINALE SCORE</t>
  </si>
  <si>
    <t>Privacy:</t>
  </si>
  <si>
    <t>Quality:</t>
  </si>
  <si>
    <t>Cost:</t>
  </si>
  <si>
    <t>TOTAAL SCORE:</t>
  </si>
  <si>
    <t>E. BESLISSING</t>
  </si>
  <si>
    <t>Aanbeveling:</t>
  </si>
  <si>
    <t>INTERPRETATIE:</t>
  </si>
  <si>
    <t>Privacy score:</t>
  </si>
  <si>
    <t>Break-even realistisch (maanden):</t>
  </si>
  <si>
    <t>Investering terugverdiend 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</si>
</sst>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€#,##0"/>
    <numFmt numFmtId="165" formatCode="\€0.0000"/>
    <numFmt numFmtId="166" formatCode="0.0"/>
    <numFmt numFmtId="167" formatCode="\€#,##0.00"/>
    <numFmt numFmtId="168" formatCode="#,##0.0"/>
  </numFmts>
  <fonts count="1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color rgb="FF0000FF"/>
      <name val="Calibri"/>
    </font>
    <font>
      <i/>
      <sz val="11"/>
      <name val="Calibri"/>
    </font>
    <font>
      <sz val="11"/>
      <color rgb="FF008000"/>
      <name val="Calibri"/>
    </font>
    <font>
      <b/>
      <sz val="11"/>
      <color rgb="FF008000"/>
      <name val="Calibri"/>
    </font>
    <font>
      <b/>
      <sz val="14"/>
      <color rgb="FFFF0000"/>
      <name val="Calibri"/>
    </font>
    <font>
      <b/>
      <sz val="16"/>
      <color rgb="FFFF0000"/>
      <name val="Calibri"/>
    </font>
    <font>
      <b/>
      <sz val="11"/>
      <name val="Calibri"/>
    </font>
    <font>
      <b/>
      <sz val="11"/>
      <name val="Calibri"/>
    </font>
    <font>
      <b/>
      <sz val="12"/>
      <name val="Calibri"/>
    </font>
    <font>
      <b/>
      <sz val="13"/>
      <name val="Calibri"/>
    </font>
    <font>
      <i/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164" fontId="4" fillId="0" borderId="0" xfId="0" applyNumberFormat="1" applyFont="1"/>
    <xf numFmtId="164" fontId="0" fillId="2" borderId="0" xfId="0" applyNumberFormat="1" applyFill="1"/>
    <xf numFmtId="164" fontId="5" fillId="0" borderId="0" xfId="0" applyNumberFormat="1" applyFont="1"/>
    <xf numFmtId="164" fontId="6" fillId="0" borderId="0" xfId="0" applyNumberFormat="1" applyFont="1"/>
    <xf numFmtId="165" fontId="4" fillId="0" borderId="0" xfId="0" applyNumberFormat="1" applyFont="1"/>
    <xf numFmtId="3" fontId="0" fillId="2" borderId="0" xfId="0" applyNumberFormat="1" applyFill="1"/>
    <xf numFmtId="166" fontId="0" fillId="2" borderId="0" xfId="0" applyNumberFormat="1" applyFill="1"/>
    <xf numFmtId="167" fontId="4" fillId="0" borderId="0" xfId="0" applyNumberFormat="1" applyFont="1"/>
    <xf numFmtId="167" fontId="6" fillId="0" borderId="0" xfId="0" applyNumberFormat="1" applyFont="1"/>
    <xf numFmtId="3" fontId="4" fillId="0" borderId="0" xfId="0" applyNumberFormat="1" applyFont="1"/>
    <xf numFmtId="168" fontId="4" fillId="0" borderId="0" xfId="0" applyNumberFormat="1" applyFont="1"/>
    <xf numFmtId="2" fontId="4" fillId="0" borderId="0" xfId="0" applyNumberFormat="1" applyFont="1"/>
    <xf numFmtId="9" fontId="0" fillId="2" borderId="0" xfId="0" applyNumberFormat="1" applyFill="1"/>
    <xf numFmtId="166" fontId="5" fillId="0" borderId="0" xfId="0" applyNumberFormat="1" applyFont="1"/>
    <xf numFmtId="1" fontId="0" fillId="2" borderId="0" xfId="0" applyNumberFormat="1" applyFill="1"/>
    <xf numFmtId="1" fontId="5" fillId="0" borderId="0" xfId="0" applyNumberFormat="1" applyFont="1"/>
    <xf numFmtId="9" fontId="4" fillId="0" borderId="0" xfId="0" applyNumberFormat="1" applyFont="1"/>
    <xf numFmtId="0" fontId="4" fillId="0" borderId="0" xfId="0" applyFont="1"/>
    <xf numFmtId="166" fontId="4" fillId="0" borderId="0" xfId="0" applyNumberFormat="1" applyFont="1"/>
    <xf numFmtId="1" fontId="4" fillId="0" borderId="0" xfId="0" applyNumberFormat="1" applyFont="1"/>
    <xf numFmtId="166" fontId="7" fillId="0" borderId="0" xfId="0" applyNumberFormat="1" applyFont="1"/>
    <xf numFmtId="0" fontId="6" fillId="0" borderId="0" xfId="0" applyFont="1"/>
    <xf numFmtId="0" fontId="8" fillId="0" borderId="0" xfId="0" applyFont="1"/>
    <xf numFmtId="0" fontId="9" fillId="0" borderId="0" xfId="0" applyFont="1"/>
    <xf numFmtId="166" fontId="5" fillId="2" borderId="0" xfId="0" applyNumberFormat="1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workbookViewId="0">
      <selection activeCell="T25" sqref="T25"/>
    </sheetView>
  </sheetViews>
  <sheetFormatPr defaultRowHeight="15" x14ac:dyDescent="0.25"/>
  <cols>
    <col min="1" max="1" width="35" customWidth="1"/>
    <col min="2" max="2" width="20" customWidth="1"/>
    <col min="3" max="3" width="25" customWidth="1"/>
    <col min="4" max="4" width="40" customWidth="1"/>
  </cols>
  <sheetData>
    <row r="1" spans="1:4" ht="21" x14ac:dyDescent="0.35">
      <c r="A1" s="33" t="s">
        <v>0</v>
      </c>
      <c r="B1" s="34"/>
      <c r="C1" s="34"/>
      <c r="D1" s="34"/>
    </row>
    <row r="3" spans="1:4" ht="17.25" x14ac:dyDescent="0.3">
      <c r="A3" s="30" t="s">
        <v>1</v>
      </c>
    </row>
    <row r="4" spans="1:4" x14ac:dyDescent="0.25">
      <c r="A4" t="s">
        <v>2</v>
      </c>
    </row>
    <row r="5" spans="1:4" x14ac:dyDescent="0.25">
      <c r="A5" t="s">
        <v>3</v>
      </c>
    </row>
    <row r="6" spans="1:4" x14ac:dyDescent="0.25">
      <c r="A6" t="s">
        <v>4</v>
      </c>
    </row>
    <row r="7" spans="1:4" x14ac:dyDescent="0.25">
      <c r="A7" t="s">
        <v>5</v>
      </c>
    </row>
    <row r="8" spans="1:4" x14ac:dyDescent="0.25">
      <c r="A8" t="s">
        <v>6</v>
      </c>
    </row>
    <row r="9" spans="1:4" x14ac:dyDescent="0.25">
      <c r="A9" t="s">
        <v>7</v>
      </c>
    </row>
    <row r="10" spans="1:4" x14ac:dyDescent="0.25">
      <c r="A10" t="s">
        <v>8</v>
      </c>
    </row>
    <row r="11" spans="1:4" x14ac:dyDescent="0.25">
      <c r="A11" t="s">
        <v>9</v>
      </c>
    </row>
    <row r="12" spans="1:4" x14ac:dyDescent="0.25">
      <c r="A12" t="s">
        <v>10</v>
      </c>
    </row>
    <row r="14" spans="1:4" ht="17.25" x14ac:dyDescent="0.3">
      <c r="A14" s="30" t="s">
        <v>11</v>
      </c>
    </row>
    <row r="15" spans="1:4" x14ac:dyDescent="0.25">
      <c r="A15" s="26" t="s">
        <v>12</v>
      </c>
      <c r="B15" s="26" t="s">
        <v>13</v>
      </c>
      <c r="C15" s="26" t="s">
        <v>14</v>
      </c>
      <c r="D15" s="26" t="s">
        <v>15</v>
      </c>
    </row>
    <row r="16" spans="1:4" x14ac:dyDescent="0.25">
      <c r="A16" t="s">
        <v>16</v>
      </c>
      <c r="B16" t="s">
        <v>17</v>
      </c>
      <c r="C16" t="s">
        <v>18</v>
      </c>
      <c r="D16" t="s">
        <v>19</v>
      </c>
    </row>
    <row r="17" spans="1:4" x14ac:dyDescent="0.25">
      <c r="A17" t="s">
        <v>20</v>
      </c>
      <c r="B17" t="s">
        <v>21</v>
      </c>
      <c r="C17" t="s">
        <v>22</v>
      </c>
      <c r="D17" t="s">
        <v>23</v>
      </c>
    </row>
    <row r="18" spans="1:4" x14ac:dyDescent="0.25">
      <c r="A18" t="s">
        <v>24</v>
      </c>
      <c r="B18" t="s">
        <v>25</v>
      </c>
      <c r="C18" t="s">
        <v>26</v>
      </c>
      <c r="D18" t="s">
        <v>27</v>
      </c>
    </row>
    <row r="20" spans="1:4" ht="17.25" x14ac:dyDescent="0.3">
      <c r="A20" s="30" t="s">
        <v>28</v>
      </c>
    </row>
    <row r="21" spans="1:4" x14ac:dyDescent="0.25">
      <c r="A21" s="26" t="s">
        <v>29</v>
      </c>
      <c r="B21" s="26" t="s">
        <v>13</v>
      </c>
      <c r="C21" s="26" t="s">
        <v>30</v>
      </c>
      <c r="D21" s="26" t="s">
        <v>15</v>
      </c>
    </row>
    <row r="22" spans="1:4" x14ac:dyDescent="0.25">
      <c r="A22" t="s">
        <v>31</v>
      </c>
      <c r="B22" t="s">
        <v>32</v>
      </c>
      <c r="C22" t="s">
        <v>33</v>
      </c>
      <c r="D22" t="s">
        <v>34</v>
      </c>
    </row>
    <row r="23" spans="1:4" x14ac:dyDescent="0.25">
      <c r="A23" t="s">
        <v>35</v>
      </c>
      <c r="B23" t="s">
        <v>36</v>
      </c>
      <c r="C23" t="s">
        <v>37</v>
      </c>
      <c r="D23" t="s">
        <v>38</v>
      </c>
    </row>
    <row r="24" spans="1:4" x14ac:dyDescent="0.25">
      <c r="A24" t="s">
        <v>39</v>
      </c>
      <c r="B24" t="s">
        <v>40</v>
      </c>
      <c r="C24" t="s">
        <v>41</v>
      </c>
      <c r="D24" t="s">
        <v>42</v>
      </c>
    </row>
    <row r="26" spans="1:4" ht="17.25" x14ac:dyDescent="0.3">
      <c r="A26" s="30" t="s">
        <v>43</v>
      </c>
    </row>
    <row r="27" spans="1:4" x14ac:dyDescent="0.25">
      <c r="A27" t="s">
        <v>44</v>
      </c>
    </row>
    <row r="28" spans="1:4" x14ac:dyDescent="0.25">
      <c r="A28" t="s">
        <v>45</v>
      </c>
    </row>
    <row r="30" spans="1:4" ht="17.25" x14ac:dyDescent="0.3">
      <c r="A30" s="30" t="s">
        <v>46</v>
      </c>
    </row>
    <row r="31" spans="1:4" x14ac:dyDescent="0.25">
      <c r="A31" t="s">
        <v>47</v>
      </c>
    </row>
    <row r="32" spans="1:4" x14ac:dyDescent="0.25">
      <c r="A32" t="s">
        <v>48</v>
      </c>
    </row>
    <row r="34" spans="1:2" x14ac:dyDescent="0.25">
      <c r="A34" t="s">
        <v>49</v>
      </c>
    </row>
    <row r="35" spans="1:2" x14ac:dyDescent="0.25">
      <c r="A35" t="s">
        <v>50</v>
      </c>
    </row>
    <row r="36" spans="1:2" x14ac:dyDescent="0.25">
      <c r="A36" t="s">
        <v>51</v>
      </c>
    </row>
    <row r="37" spans="1:2" x14ac:dyDescent="0.25">
      <c r="A37" t="s">
        <v>52</v>
      </c>
    </row>
    <row r="38" spans="1:2" x14ac:dyDescent="0.25">
      <c r="A38" t="s">
        <v>53</v>
      </c>
    </row>
    <row r="40" spans="1:2" x14ac:dyDescent="0.25">
      <c r="A40" t="s">
        <v>54</v>
      </c>
      <c r="B40" t="s">
        <v>55</v>
      </c>
    </row>
    <row r="41" spans="1:2" x14ac:dyDescent="0.25">
      <c r="B41" t="s">
        <v>56</v>
      </c>
    </row>
    <row r="42" spans="1:2" x14ac:dyDescent="0.25">
      <c r="B42" t="s">
        <v>57</v>
      </c>
    </row>
    <row r="43" spans="1:2" x14ac:dyDescent="0.25">
      <c r="B43" t="s">
        <v>58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activeCell="C24" sqref="C24"/>
    </sheetView>
  </sheetViews>
  <sheetFormatPr defaultRowHeight="15" x14ac:dyDescent="0.25"/>
  <cols>
    <col min="1" max="1" width="30" customWidth="1"/>
    <col min="2" max="2" width="18" customWidth="1"/>
    <col min="3" max="3" width="30" customWidth="1"/>
  </cols>
  <sheetData>
    <row r="1" spans="1:4" ht="21" x14ac:dyDescent="0.35">
      <c r="A1" s="33" t="s">
        <v>59</v>
      </c>
      <c r="B1" s="34"/>
      <c r="C1" s="34"/>
      <c r="D1" s="34"/>
    </row>
    <row r="2" spans="1:4" x14ac:dyDescent="0.25">
      <c r="A2" s="31" t="s">
        <v>60</v>
      </c>
    </row>
    <row r="3" spans="1:4" ht="15.75" x14ac:dyDescent="0.25">
      <c r="A3" s="1" t="s">
        <v>61</v>
      </c>
    </row>
    <row r="4" spans="1:4" x14ac:dyDescent="0.25">
      <c r="A4" t="s">
        <v>62</v>
      </c>
      <c r="B4" s="2" t="s">
        <v>20</v>
      </c>
      <c r="C4" s="3" t="s">
        <v>63</v>
      </c>
    </row>
    <row r="5" spans="1:4" x14ac:dyDescent="0.25">
      <c r="A5" t="s">
        <v>64</v>
      </c>
      <c r="B5" s="4">
        <f>IF(B4="Budget",1650,IF(B4="Mid-range",1900,IF(B4="High-end",4250,1900)))</f>
        <v>1900</v>
      </c>
    </row>
    <row r="7" spans="1:4" ht="15.75" x14ac:dyDescent="0.25">
      <c r="A7" s="1" t="s">
        <v>65</v>
      </c>
    </row>
    <row r="8" spans="1:4" x14ac:dyDescent="0.25">
      <c r="A8" t="s">
        <v>66</v>
      </c>
      <c r="B8" s="2">
        <v>8</v>
      </c>
    </row>
    <row r="9" spans="1:4" x14ac:dyDescent="0.25">
      <c r="A9" t="s">
        <v>67</v>
      </c>
      <c r="B9" s="2">
        <v>6</v>
      </c>
    </row>
    <row r="10" spans="1:4" x14ac:dyDescent="0.25">
      <c r="A10" t="s">
        <v>68</v>
      </c>
      <c r="B10" s="5">
        <v>75</v>
      </c>
    </row>
    <row r="11" spans="1:4" x14ac:dyDescent="0.25">
      <c r="A11" t="s">
        <v>69</v>
      </c>
      <c r="B11" s="6">
        <f>(B8+B9)*B10</f>
        <v>1050</v>
      </c>
    </row>
    <row r="13" spans="1:4" ht="15.75" x14ac:dyDescent="0.25">
      <c r="A13" s="1" t="s">
        <v>70</v>
      </c>
    </row>
    <row r="14" spans="1:4" x14ac:dyDescent="0.25">
      <c r="A14" t="s">
        <v>71</v>
      </c>
      <c r="B14" s="4">
        <f>IF(B4="Budget",6,IF(B4="Mid-range",13,IF(B4="High-end",19,13)))</f>
        <v>13</v>
      </c>
    </row>
    <row r="15" spans="1:4" x14ac:dyDescent="0.25">
      <c r="A15" t="s">
        <v>72</v>
      </c>
      <c r="B15" s="5">
        <v>100</v>
      </c>
    </row>
    <row r="16" spans="1:4" x14ac:dyDescent="0.25">
      <c r="A16" t="s">
        <v>73</v>
      </c>
      <c r="B16" s="2">
        <v>4</v>
      </c>
    </row>
    <row r="17" spans="1:2" x14ac:dyDescent="0.25">
      <c r="A17" t="s">
        <v>74</v>
      </c>
      <c r="B17" s="4">
        <f>B16*B10</f>
        <v>300</v>
      </c>
    </row>
    <row r="18" spans="1:2" x14ac:dyDescent="0.25">
      <c r="A18" t="s">
        <v>75</v>
      </c>
      <c r="B18" s="6">
        <f>B14+B15+B17</f>
        <v>413</v>
      </c>
    </row>
    <row r="20" spans="1:2" ht="15.75" x14ac:dyDescent="0.25">
      <c r="A20" s="1" t="s">
        <v>76</v>
      </c>
    </row>
    <row r="21" spans="1:2" x14ac:dyDescent="0.25">
      <c r="A21" t="s">
        <v>77</v>
      </c>
      <c r="B21" s="6">
        <f>B5+B11+(B18*12)</f>
        <v>7906</v>
      </c>
    </row>
    <row r="22" spans="1:2" x14ac:dyDescent="0.25">
      <c r="A22" t="s">
        <v>78</v>
      </c>
      <c r="B22" s="6">
        <f>B18*24</f>
        <v>9912</v>
      </c>
    </row>
    <row r="23" spans="1:2" ht="18.75" x14ac:dyDescent="0.3">
      <c r="A23" t="s">
        <v>79</v>
      </c>
      <c r="B23" s="7">
        <f>B21+B22</f>
        <v>17818</v>
      </c>
    </row>
    <row r="24" spans="1:2" ht="18.75" x14ac:dyDescent="0.3">
      <c r="A24" t="s">
        <v>80</v>
      </c>
      <c r="B24" s="7">
        <f>B23/36</f>
        <v>494.94444444444446</v>
      </c>
    </row>
  </sheetData>
  <mergeCells count="1">
    <mergeCell ref="A1:D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B5" sqref="B5"/>
    </sheetView>
  </sheetViews>
  <sheetFormatPr defaultRowHeight="15" x14ac:dyDescent="0.25"/>
  <cols>
    <col min="1" max="1" width="30" customWidth="1"/>
    <col min="2" max="2" width="18" customWidth="1"/>
    <col min="3" max="3" width="30" customWidth="1"/>
  </cols>
  <sheetData>
    <row r="1" spans="1:4" ht="21" x14ac:dyDescent="0.35">
      <c r="A1" s="33" t="s">
        <v>81</v>
      </c>
      <c r="B1" s="34"/>
      <c r="C1" s="34"/>
      <c r="D1" s="34"/>
    </row>
    <row r="2" spans="1:4" x14ac:dyDescent="0.25">
      <c r="A2" s="31" t="s">
        <v>82</v>
      </c>
    </row>
    <row r="3" spans="1:4" ht="15.75" x14ac:dyDescent="0.25">
      <c r="A3" s="1" t="s">
        <v>83</v>
      </c>
    </row>
    <row r="4" spans="1:4" x14ac:dyDescent="0.25">
      <c r="A4" t="s">
        <v>84</v>
      </c>
      <c r="B4" s="2" t="s">
        <v>31</v>
      </c>
      <c r="C4" s="3" t="s">
        <v>85</v>
      </c>
    </row>
    <row r="5" spans="1:4" x14ac:dyDescent="0.25">
      <c r="A5" t="s">
        <v>86</v>
      </c>
      <c r="B5" s="8">
        <f>IF(B4="Batch",0.0071,IF(B4="Sonnet",0.0047,IF(B4="Haiku",0.0016,0)))</f>
        <v>7.1000000000000004E-3</v>
      </c>
    </row>
    <row r="7" spans="1:4" ht="15.75" x14ac:dyDescent="0.25">
      <c r="A7" s="1" t="s">
        <v>87</v>
      </c>
    </row>
    <row r="8" spans="1:4" x14ac:dyDescent="0.25">
      <c r="A8" t="s">
        <v>88</v>
      </c>
      <c r="B8" s="9">
        <v>50</v>
      </c>
    </row>
    <row r="9" spans="1:4" x14ac:dyDescent="0.25">
      <c r="A9" t="s">
        <v>89</v>
      </c>
      <c r="B9" s="10">
        <v>1.2</v>
      </c>
    </row>
    <row r="10" spans="1:4" x14ac:dyDescent="0.25">
      <c r="A10" t="s">
        <v>90</v>
      </c>
      <c r="B10" s="10">
        <v>1.4</v>
      </c>
    </row>
    <row r="12" spans="1:4" ht="15.75" x14ac:dyDescent="0.25">
      <c r="A12" s="1" t="s">
        <v>91</v>
      </c>
    </row>
    <row r="13" spans="1:4" x14ac:dyDescent="0.25">
      <c r="A13" t="s">
        <v>92</v>
      </c>
      <c r="B13" s="4">
        <f>8*60</f>
        <v>480</v>
      </c>
    </row>
    <row r="14" spans="1:4" x14ac:dyDescent="0.25">
      <c r="A14" t="s">
        <v>93</v>
      </c>
      <c r="B14" s="11">
        <f>B8*B5*12</f>
        <v>4.2600000000000007</v>
      </c>
    </row>
    <row r="15" spans="1:4" x14ac:dyDescent="0.25">
      <c r="A15" t="s">
        <v>94</v>
      </c>
      <c r="B15" s="11">
        <f>B8*B9*B5*12</f>
        <v>5.1120000000000001</v>
      </c>
    </row>
    <row r="16" spans="1:4" x14ac:dyDescent="0.25">
      <c r="A16" t="s">
        <v>95</v>
      </c>
      <c r="B16" s="11">
        <f>B8*B10*B5*12</f>
        <v>5.9640000000000004</v>
      </c>
    </row>
    <row r="18" spans="1:2" ht="15.75" x14ac:dyDescent="0.25">
      <c r="A18" s="1" t="s">
        <v>76</v>
      </c>
    </row>
    <row r="19" spans="1:2" ht="18.75" x14ac:dyDescent="0.3">
      <c r="A19" t="s">
        <v>79</v>
      </c>
      <c r="B19" s="12">
        <f>B13+B14+B15+B16</f>
        <v>495.33600000000001</v>
      </c>
    </row>
    <row r="20" spans="1:2" ht="18.75" x14ac:dyDescent="0.3">
      <c r="A20" t="s">
        <v>80</v>
      </c>
      <c r="B20" s="12">
        <f>B19/36</f>
        <v>13.759333333333334</v>
      </c>
    </row>
  </sheetData>
  <mergeCells count="1">
    <mergeCell ref="A1:D1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>
      <selection activeCell="H24" sqref="H24"/>
    </sheetView>
  </sheetViews>
  <sheetFormatPr defaultRowHeight="15" x14ac:dyDescent="0.25"/>
  <cols>
    <col min="1" max="1" width="35" customWidth="1"/>
    <col min="2" max="2" width="20" customWidth="1"/>
  </cols>
  <sheetData>
    <row r="1" spans="1:4" ht="21" x14ac:dyDescent="0.35">
      <c r="A1" s="33" t="s">
        <v>96</v>
      </c>
      <c r="B1" s="34"/>
      <c r="C1" s="34"/>
      <c r="D1" s="34"/>
    </row>
    <row r="2" spans="1:4" x14ac:dyDescent="0.25">
      <c r="A2" s="31" t="s">
        <v>97</v>
      </c>
    </row>
    <row r="3" spans="1:4" ht="15.75" x14ac:dyDescent="0.25">
      <c r="A3" s="1" t="s">
        <v>98</v>
      </c>
    </row>
    <row r="4" spans="1:4" x14ac:dyDescent="0.25">
      <c r="A4" t="s">
        <v>99</v>
      </c>
      <c r="B4" s="2">
        <v>45</v>
      </c>
    </row>
    <row r="5" spans="1:4" x14ac:dyDescent="0.25">
      <c r="A5" t="s">
        <v>100</v>
      </c>
      <c r="B5" s="2">
        <v>8</v>
      </c>
    </row>
    <row r="6" spans="1:4" x14ac:dyDescent="0.25">
      <c r="A6" t="s">
        <v>101</v>
      </c>
      <c r="B6" s="9">
        <v>100</v>
      </c>
    </row>
    <row r="7" spans="1:4" x14ac:dyDescent="0.25">
      <c r="A7" t="s">
        <v>102</v>
      </c>
      <c r="B7" s="5">
        <v>40</v>
      </c>
    </row>
    <row r="9" spans="1:4" x14ac:dyDescent="0.25">
      <c r="A9" t="s">
        <v>103</v>
      </c>
      <c r="B9" s="13">
        <f>B4-B5</f>
        <v>37</v>
      </c>
    </row>
    <row r="10" spans="1:4" x14ac:dyDescent="0.25">
      <c r="A10" t="s">
        <v>104</v>
      </c>
      <c r="B10" s="14">
        <f>(B9*B6)/60</f>
        <v>61.666666666666664</v>
      </c>
    </row>
    <row r="11" spans="1:4" x14ac:dyDescent="0.25">
      <c r="A11" t="s">
        <v>105</v>
      </c>
      <c r="B11" s="15">
        <f>B10/160</f>
        <v>0.38541666666666663</v>
      </c>
    </row>
    <row r="12" spans="1:4" x14ac:dyDescent="0.25">
      <c r="A12" t="s">
        <v>106</v>
      </c>
      <c r="B12" s="6">
        <f>B11*B7*160</f>
        <v>2466.6666666666661</v>
      </c>
    </row>
    <row r="14" spans="1:4" ht="15.75" x14ac:dyDescent="0.25">
      <c r="A14" s="1" t="s">
        <v>107</v>
      </c>
    </row>
    <row r="15" spans="1:4" x14ac:dyDescent="0.25">
      <c r="A15" t="s">
        <v>108</v>
      </c>
      <c r="B15" s="16">
        <v>0.19</v>
      </c>
    </row>
    <row r="16" spans="1:4" x14ac:dyDescent="0.25">
      <c r="A16" t="s">
        <v>109</v>
      </c>
      <c r="B16" s="16">
        <v>0.05</v>
      </c>
    </row>
    <row r="17" spans="1:2" x14ac:dyDescent="0.25">
      <c r="A17" t="s">
        <v>110</v>
      </c>
      <c r="B17" s="5">
        <v>75</v>
      </c>
    </row>
    <row r="18" spans="1:2" x14ac:dyDescent="0.25">
      <c r="A18" t="s">
        <v>111</v>
      </c>
      <c r="B18" s="9">
        <v>60</v>
      </c>
    </row>
    <row r="20" spans="1:2" x14ac:dyDescent="0.25">
      <c r="A20" t="s">
        <v>112</v>
      </c>
      <c r="B20" s="14">
        <f>B18*B15</f>
        <v>11.4</v>
      </c>
    </row>
    <row r="21" spans="1:2" x14ac:dyDescent="0.25">
      <c r="A21" t="s">
        <v>113</v>
      </c>
      <c r="B21" s="14">
        <f>B18*B16</f>
        <v>3</v>
      </c>
    </row>
    <row r="22" spans="1:2" x14ac:dyDescent="0.25">
      <c r="A22" t="s">
        <v>114</v>
      </c>
      <c r="B22" s="14">
        <f>B20-B21</f>
        <v>8.4</v>
      </c>
    </row>
    <row r="23" spans="1:2" x14ac:dyDescent="0.25">
      <c r="A23" t="s">
        <v>115</v>
      </c>
      <c r="B23" s="6">
        <f>B22*B17</f>
        <v>630</v>
      </c>
    </row>
    <row r="25" spans="1:2" ht="15.75" x14ac:dyDescent="0.25">
      <c r="A25" s="1" t="s">
        <v>116</v>
      </c>
    </row>
    <row r="26" spans="1:2" ht="18.75" x14ac:dyDescent="0.3">
      <c r="A26" t="s">
        <v>117</v>
      </c>
      <c r="B26" s="7">
        <f>B12+B23</f>
        <v>3096.6666666666661</v>
      </c>
    </row>
    <row r="27" spans="1:2" ht="18.75" x14ac:dyDescent="0.3">
      <c r="A27" t="s">
        <v>118</v>
      </c>
      <c r="B27" s="7">
        <f>B26*12</f>
        <v>37159.999999999993</v>
      </c>
    </row>
    <row r="28" spans="1:2" ht="18.75" x14ac:dyDescent="0.3">
      <c r="A28" s="26" t="s">
        <v>119</v>
      </c>
      <c r="B28" s="7">
        <f>B27*3</f>
        <v>111479.99999999997</v>
      </c>
    </row>
    <row r="29" spans="1:2" x14ac:dyDescent="0.25">
      <c r="A29" s="26" t="s">
        <v>120</v>
      </c>
      <c r="B29" s="2">
        <f>IF(B26&gt;0,'Hardware TCO'!B21/B26,0)</f>
        <v>2.5530678148546828</v>
      </c>
    </row>
    <row r="30" spans="1:2" x14ac:dyDescent="0.25">
      <c r="A30" s="26" t="s">
        <v>121</v>
      </c>
      <c r="B30" s="2">
        <f>IF(B26&gt;0,'Cloud TCO'!B13/B26,0)</f>
        <v>0.15500538213132403</v>
      </c>
    </row>
    <row r="31" spans="1:2" x14ac:dyDescent="0.25">
      <c r="A31" s="26" t="s">
        <v>122</v>
      </c>
      <c r="B31" s="28">
        <f>IF(B26&gt;0,'Hardware TCO'!B21/(B26*0.7),0)</f>
        <v>3.6472397355066901</v>
      </c>
    </row>
    <row r="32" spans="1:2" x14ac:dyDescent="0.25">
      <c r="A32" s="26" t="s">
        <v>123</v>
      </c>
      <c r="B32" s="28">
        <f>IF(B26&gt;0,'Cloud TCO'!B13/(B26*0.7),0)</f>
        <v>0.22143626018760579</v>
      </c>
    </row>
  </sheetData>
  <mergeCells count="1">
    <mergeCell ref="A1:D1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tabSelected="1" workbookViewId="0">
      <selection activeCell="I38" sqref="I38"/>
    </sheetView>
  </sheetViews>
  <sheetFormatPr defaultRowHeight="15" x14ac:dyDescent="0.25"/>
  <cols>
    <col min="1" max="1" width="30" customWidth="1"/>
    <col min="2" max="2" width="20" customWidth="1"/>
    <col min="3" max="3" width="40" customWidth="1"/>
  </cols>
  <sheetData>
    <row r="1" spans="1:4" ht="21" x14ac:dyDescent="0.35">
      <c r="A1" s="33" t="s">
        <v>124</v>
      </c>
      <c r="B1" s="34"/>
      <c r="C1" s="34"/>
      <c r="D1" s="34"/>
    </row>
    <row r="2" spans="1:4" x14ac:dyDescent="0.25">
      <c r="A2" s="32" t="s">
        <v>125</v>
      </c>
    </row>
    <row r="3" spans="1:4" x14ac:dyDescent="0.25">
      <c r="A3" s="27" t="s">
        <v>126</v>
      </c>
    </row>
    <row r="4" spans="1:4" x14ac:dyDescent="0.25">
      <c r="A4" t="s">
        <v>127</v>
      </c>
      <c r="B4" s="18">
        <v>44</v>
      </c>
      <c r="C4" s="3" t="s">
        <v>128</v>
      </c>
    </row>
    <row r="5" spans="1:4" x14ac:dyDescent="0.25">
      <c r="A5" t="s">
        <v>129</v>
      </c>
      <c r="B5" s="19">
        <f>MIN(B4,50)</f>
        <v>44</v>
      </c>
    </row>
    <row r="7" spans="1:4" ht="15.75" x14ac:dyDescent="0.25">
      <c r="A7" s="1" t="s">
        <v>130</v>
      </c>
    </row>
    <row r="8" spans="1:4" x14ac:dyDescent="0.25">
      <c r="A8" t="s">
        <v>131</v>
      </c>
      <c r="B8" s="20">
        <f>IF(Besparingen!B15&gt;0,(Besparingen!B15-Besparingen!B16)/Besparingen!B15,0)</f>
        <v>0.73684210526315796</v>
      </c>
    </row>
    <row r="9" spans="1:4" x14ac:dyDescent="0.25">
      <c r="A9" t="s">
        <v>132</v>
      </c>
      <c r="B9" s="20">
        <f>IF(Besparingen!B4&gt;0,(Besparingen!B4-Besparingen!B5)/Besparingen!B4,0)</f>
        <v>0.82222222222222219</v>
      </c>
    </row>
    <row r="10" spans="1:4" x14ac:dyDescent="0.25">
      <c r="A10" t="s">
        <v>133</v>
      </c>
      <c r="B10" s="17">
        <f>MIN((B8*0.6+B9*0.4)*100,30)</f>
        <v>30</v>
      </c>
    </row>
    <row r="12" spans="1:4" ht="15.75" x14ac:dyDescent="0.25">
      <c r="A12" s="1" t="s">
        <v>134</v>
      </c>
    </row>
    <row r="13" spans="1:4" x14ac:dyDescent="0.25">
      <c r="A13" t="s">
        <v>135</v>
      </c>
      <c r="B13" s="4">
        <f>'Hardware TCO'!B23</f>
        <v>17818</v>
      </c>
    </row>
    <row r="14" spans="1:4" x14ac:dyDescent="0.25">
      <c r="A14" t="s">
        <v>136</v>
      </c>
      <c r="B14" s="4">
        <f>'Cloud TCO'!B19</f>
        <v>495.33600000000001</v>
      </c>
    </row>
    <row r="15" spans="1:4" x14ac:dyDescent="0.25">
      <c r="A15" t="s">
        <v>137</v>
      </c>
      <c r="B15" s="21" t="str">
        <f>IF(B13&lt;B14,"Hardware","Cloud")</f>
        <v>Cloud</v>
      </c>
    </row>
    <row r="16" spans="1:4" x14ac:dyDescent="0.25">
      <c r="A16" t="s">
        <v>138</v>
      </c>
      <c r="B16" s="22">
        <f>MAX(B13,B14)/MIN(B13,B14)</f>
        <v>35.971542548896103</v>
      </c>
    </row>
    <row r="17" spans="1:2" x14ac:dyDescent="0.25">
      <c r="A17" t="s">
        <v>139</v>
      </c>
      <c r="B17" s="17">
        <f>IF(B15="Hardware",MIN(20,(B16-1)*2),MAX(0,20-(B16-1)*2))</f>
        <v>0</v>
      </c>
    </row>
    <row r="19" spans="1:2" ht="15.75" x14ac:dyDescent="0.25">
      <c r="A19" s="1" t="s">
        <v>140</v>
      </c>
    </row>
    <row r="20" spans="1:2" x14ac:dyDescent="0.25">
      <c r="A20" t="s">
        <v>141</v>
      </c>
      <c r="B20" s="23">
        <f>B5</f>
        <v>44</v>
      </c>
    </row>
    <row r="21" spans="1:2" x14ac:dyDescent="0.25">
      <c r="A21" t="s">
        <v>142</v>
      </c>
      <c r="B21" s="22">
        <f>B10</f>
        <v>30</v>
      </c>
    </row>
    <row r="22" spans="1:2" x14ac:dyDescent="0.25">
      <c r="A22" t="s">
        <v>143</v>
      </c>
      <c r="B22" s="22">
        <f>B17</f>
        <v>0</v>
      </c>
    </row>
    <row r="24" spans="1:2" ht="21" x14ac:dyDescent="0.35">
      <c r="A24" t="s">
        <v>144</v>
      </c>
      <c r="B24" s="24">
        <f>B20+B21+B22</f>
        <v>74</v>
      </c>
    </row>
    <row r="26" spans="1:2" ht="15.75" x14ac:dyDescent="0.25">
      <c r="A26" s="1" t="s">
        <v>145</v>
      </c>
    </row>
    <row r="27" spans="1:2" ht="18.75" x14ac:dyDescent="0.3">
      <c r="A27" t="s">
        <v>146</v>
      </c>
      <c r="B27" s="25" t="str">
        <f>IF(B24&gt;70,"HARDWARE",IF(B24&gt;50,"OVERWEGING","CLOUD"))</f>
        <v>HARDWARE</v>
      </c>
    </row>
    <row r="29" spans="1:2" ht="15.75" x14ac:dyDescent="0.25">
      <c r="A29" s="29" t="s">
        <v>147</v>
      </c>
    </row>
    <row r="30" spans="1:2" x14ac:dyDescent="0.25">
      <c r="A30" t="s">
        <v>148</v>
      </c>
      <c r="B30" t="str">
        <f>IF(B4&lt;30,"Cloud mogelijk",IF(B4&lt;50,"Hardware overwegen",IF(B4&lt;70,"Hardware aangeraden","Hardware verplicht")))</f>
        <v>Hardware overwegen</v>
      </c>
    </row>
    <row r="31" spans="1:2" x14ac:dyDescent="0.25">
      <c r="A31" t="s">
        <v>149</v>
      </c>
      <c r="B31">
        <f>IF(B15="Hardware",Besparingen!B31,Besparingen!B32)</f>
        <v>0.22143626018760579</v>
      </c>
    </row>
    <row r="32" spans="1:2" x14ac:dyDescent="0.25">
      <c r="A32" t="s">
        <v>150</v>
      </c>
      <c r="B32" t="str">
        <f>IF(B31&lt;6,"&lt;6 maanden (excellent)",IF(B31&lt;12,"6-12 maanden (goed)",IF(B31&lt;18,"12-18 maanden (acceptabel)","&gt;18 maanden (moeilijk)")))</f>
        <v>&lt;6 maanden (excellent)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HELP &amp; GUIDE</vt:lpstr>
      <vt:lpstr>Hardware TCO</vt:lpstr>
      <vt:lpstr>Cloud TCO</vt:lpstr>
      <vt:lpstr>Besparingen</vt:lpstr>
      <vt:lpstr>Finale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rafi e</cp:lastModifiedBy>
  <dcterms:created xsi:type="dcterms:W3CDTF">2025-12-10T10:04:52Z</dcterms:created>
  <dcterms:modified xsi:type="dcterms:W3CDTF">2026-05-19T11:07:37Z</dcterms:modified>
</cp:coreProperties>
</file>